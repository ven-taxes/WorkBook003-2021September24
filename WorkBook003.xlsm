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rnesto\Desktop\003 WorkBook\"/>
    </mc:Choice>
  </mc:AlternateContent>
  <bookViews>
    <workbookView xWindow="0" yWindow="0" windowWidth="20490" windowHeight="7800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  <c r="K11" i="1"/>
  <c r="K10" i="1"/>
  <c r="K9" i="1"/>
  <c r="G11" i="1"/>
  <c r="G10" i="1"/>
  <c r="G9" i="1"/>
  <c r="C11" i="1"/>
  <c r="I11" i="1"/>
  <c r="I10" i="1"/>
  <c r="I9" i="1"/>
  <c r="A11" i="1"/>
  <c r="H11" i="1" s="1"/>
  <c r="A10" i="1"/>
  <c r="F10" i="1" s="1"/>
  <c r="A9" i="1"/>
  <c r="J9" i="1" s="1"/>
  <c r="D11" i="1" l="1"/>
  <c r="L11" i="1"/>
  <c r="B11" i="1"/>
  <c r="F11" i="1"/>
  <c r="J11" i="1"/>
  <c r="L10" i="1"/>
  <c r="J10" i="1"/>
  <c r="H10" i="1"/>
  <c r="F9" i="1"/>
  <c r="H9" i="1"/>
  <c r="L9" i="1"/>
</calcChain>
</file>

<file path=xl/sharedStrings.xml><?xml version="1.0" encoding="utf-8"?>
<sst xmlns="http://schemas.openxmlformats.org/spreadsheetml/2006/main" count="6" uniqueCount="6">
  <si>
    <t>¿Cómo leer un número demasiado grande y darle formato en Excel?</t>
  </si>
  <si>
    <t>Para leer un número grande debes …</t>
  </si>
  <si>
    <t>2.- Después colocar un espacio cada tres cifras, comenzado desde el lado derecho.</t>
  </si>
  <si>
    <t>1.- Debemos armar un grupo por cada seis (6) cifras, si el grupo de la izquierda no llega. No hay problema.</t>
  </si>
  <si>
    <t>3.- A continuación colocar la palabra mil en el espacio central de cada grupo.</t>
  </si>
  <si>
    <t>4.- Al final de cada grupo, colocar la palabra millones, billones, trillones o cuatrillones.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</si>
</sst>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#,##0,,\ &quot;millones&quot;"/>
    <numFmt numFmtId="165" formatCode="#,###,,,\ &quot;millardos&quot;"/>
    <numFmt numFmtId="166" formatCode="#,##0,,,,\ &quot;billones&quot;"/>
  </numFmts>
  <fonts count="8" x14ac:knownFonts="1">
    <font>
      <sz val="10"/>
      <color theme="1"/>
      <name val="Calibri"/>
      <family val="2"/>
      <scheme val="minor"/>
    </font>
    <font>
      <sz val="10"/>
      <color theme="1"/>
      <name val="Montserrat"/>
    </font>
    <font>
      <b/>
      <sz val="10"/>
      <color theme="1"/>
      <name val="Montserrat"/>
    </font>
    <font>
      <b/>
      <sz val="22"/>
      <color theme="2" tint="-9.9948118533890809E-2"/>
      <name val="Montserrat"/>
    </font>
    <font>
      <sz val="10"/>
      <color theme="1"/>
      <name val="Calibri"/>
      <family val="2"/>
      <scheme val="minor"/>
    </font>
    <font>
      <b/>
      <sz val="16"/>
      <color theme="1"/>
      <name val="Montserrat"/>
    </font>
    <font>
      <b/>
      <sz val="14"/>
      <color rgb="FF92D050"/>
      <name val="Montserrat"/>
    </font>
    <font>
      <b/>
      <sz val="14"/>
      <color rgb="FFFF0000"/>
      <name val="Montserrat"/>
    </font>
  </fonts>
  <fills count="3">
    <fill>
      <patternFill patternType="none"/>
    </fill>
    <fill>
      <patternFill patternType="gray125"/>
    </fill>
    <fill>
      <patternFill patternType="solid">
        <fgColor rgb="FF610B0B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1" fillId="0" borderId="0" xfId="0" applyFont="1" applyAlignment="1">
      <alignment horizontal="center"/>
    </xf>
    <xf numFmtId="37" fontId="2" fillId="0" borderId="0" xfId="1" applyNumberFormat="1" applyFont="1"/>
    <xf numFmtId="37" fontId="2" fillId="0" borderId="0" xfId="0" applyNumberFormat="1" applyFont="1"/>
    <xf numFmtId="0" fontId="2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37" fontId="2" fillId="0" borderId="0" xfId="0" applyNumberFormat="1" applyFont="1" applyAlignment="1"/>
    <xf numFmtId="164" fontId="2" fillId="0" borderId="0" xfId="0" applyNumberFormat="1" applyFont="1" applyAlignment="1"/>
    <xf numFmtId="165" fontId="2" fillId="0" borderId="0" xfId="0" applyNumberFormat="1" applyFont="1" applyAlignment="1"/>
    <xf numFmtId="166" fontId="2" fillId="0" borderId="0" xfId="0" applyNumberFormat="1" applyFont="1" applyAlignment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100"/>
  <sheetViews>
    <sheetView showGridLines="0" tabSelected="1" zoomScale="80" zoomScaleNormal="80" workbookViewId="0">
      <selection activeCell="B7" sqref="B7"/>
    </sheetView>
  </sheetViews>
  <sheetFormatPr baseColWidth="10" defaultRowHeight="15" x14ac:dyDescent="0.3"/>
  <cols>
    <col min="1" max="1" width="30" style="1" customWidth="1"/>
    <col min="2" max="12" width="12.85546875" style="1" customWidth="1"/>
    <col min="13" max="13" width="9.7109375" style="1" customWidth="1"/>
    <col min="14" max="14" width="11.42578125" style="1"/>
    <col min="15" max="15" width="9.7109375" style="1" customWidth="1"/>
    <col min="16" max="16384" width="11.42578125" style="1"/>
  </cols>
  <sheetData>
    <row r="1" spans="1:17" ht="39" customHeight="1" x14ac:dyDescent="0.6">
      <c r="A1" s="15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7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7" ht="24" x14ac:dyDescent="0.45">
      <c r="A3" s="2"/>
      <c r="B3" s="2"/>
      <c r="C3" s="3" t="s">
        <v>1</v>
      </c>
      <c r="E3" s="2"/>
      <c r="F3" s="2"/>
      <c r="G3" s="2"/>
      <c r="H3" s="2"/>
      <c r="I3" s="2"/>
      <c r="J3" s="2"/>
      <c r="K3" s="2"/>
      <c r="L3" s="2"/>
    </row>
    <row r="4" spans="1:17" x14ac:dyDescent="0.3">
      <c r="A4" s="2"/>
      <c r="B4" s="2" t="s">
        <v>3</v>
      </c>
      <c r="E4" s="2"/>
      <c r="F4" s="2"/>
      <c r="G4" s="2"/>
      <c r="H4" s="2"/>
      <c r="I4" s="2"/>
      <c r="J4" s="2"/>
      <c r="K4" s="2"/>
      <c r="L4" s="2"/>
    </row>
    <row r="5" spans="1:17" x14ac:dyDescent="0.3">
      <c r="A5" s="2"/>
      <c r="B5" s="2" t="s">
        <v>2</v>
      </c>
      <c r="E5" s="2"/>
      <c r="F5" s="2"/>
      <c r="G5" s="2"/>
      <c r="H5" s="2"/>
      <c r="I5" s="2"/>
      <c r="J5" s="2"/>
      <c r="K5" s="2"/>
      <c r="L5" s="2"/>
    </row>
    <row r="6" spans="1:17" x14ac:dyDescent="0.3">
      <c r="A6" s="2"/>
      <c r="B6" s="2" t="s">
        <v>4</v>
      </c>
      <c r="D6" s="2"/>
      <c r="E6" s="2"/>
      <c r="F6" s="2"/>
      <c r="G6" s="2"/>
      <c r="H6" s="2"/>
      <c r="I6" s="2"/>
      <c r="J6" s="2"/>
      <c r="K6" s="2"/>
      <c r="L6" s="2"/>
    </row>
    <row r="7" spans="1:17" x14ac:dyDescent="0.3">
      <c r="A7" s="2"/>
      <c r="B7" s="2" t="s">
        <v>5</v>
      </c>
      <c r="D7" s="2"/>
      <c r="E7" s="2"/>
      <c r="F7" s="2"/>
      <c r="G7" s="2"/>
      <c r="H7" s="2"/>
      <c r="I7" s="2"/>
      <c r="J7" s="2"/>
      <c r="K7" s="2"/>
      <c r="L7" s="2"/>
    </row>
    <row r="8" spans="1:17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7" ht="21.75" x14ac:dyDescent="0.4">
      <c r="A9" s="5">
        <f>IF(P9=1,52452986740,"")</f>
        <v>52452986740</v>
      </c>
      <c r="B9" s="7"/>
      <c r="C9" s="8"/>
      <c r="D9" s="9"/>
      <c r="E9" s="10"/>
      <c r="F9" s="7" t="str">
        <f>MID($A9,1,2)</f>
        <v>52</v>
      </c>
      <c r="G9" s="8" t="str">
        <f>IF($P$12=1,"mil","")</f>
        <v>mil</v>
      </c>
      <c r="H9" s="9" t="str">
        <f>MID($A9,3,3)</f>
        <v>452</v>
      </c>
      <c r="I9" s="10" t="str">
        <f>IF($P$13=1,"millones","")</f>
        <v>millones</v>
      </c>
      <c r="J9" s="7" t="str">
        <f>MID($A9,6,3)</f>
        <v>986</v>
      </c>
      <c r="K9" s="8" t="str">
        <f>IF($P$12=1,"mil","")</f>
        <v>mil</v>
      </c>
      <c r="L9" s="9" t="str">
        <f>MID($A9,9,3)</f>
        <v>740</v>
      </c>
      <c r="P9" s="1">
        <v>1</v>
      </c>
      <c r="Q9" s="4"/>
    </row>
    <row r="10" spans="1:17" ht="21.75" x14ac:dyDescent="0.4">
      <c r="A10" s="5">
        <f>IF(P10=1,614183586633,"")</f>
        <v>614183586633</v>
      </c>
      <c r="B10" s="7"/>
      <c r="C10" s="8"/>
      <c r="D10" s="9"/>
      <c r="E10" s="10"/>
      <c r="F10" s="7" t="str">
        <f>MID($A10,1,3)</f>
        <v>614</v>
      </c>
      <c r="G10" s="8" t="str">
        <f>IF($P$12=1,"mil","")</f>
        <v>mil</v>
      </c>
      <c r="H10" s="9" t="str">
        <f>MID($A10,4,3)</f>
        <v>183</v>
      </c>
      <c r="I10" s="10" t="str">
        <f>IF($P$13=1,"millones","")</f>
        <v>millones</v>
      </c>
      <c r="J10" s="7" t="str">
        <f>MID($A10,7,3)</f>
        <v>586</v>
      </c>
      <c r="K10" s="8" t="str">
        <f>IF($P$12=1,"mil","")</f>
        <v>mil</v>
      </c>
      <c r="L10" s="9" t="str">
        <f>MID($A10,10,3)</f>
        <v>633</v>
      </c>
      <c r="P10" s="1">
        <v>1</v>
      </c>
      <c r="Q10" s="4"/>
    </row>
    <row r="11" spans="1:17" ht="21.75" x14ac:dyDescent="0.4">
      <c r="A11" s="5">
        <f>IF(P11=1,792749345968731000,"")</f>
        <v>7.9274934596873101E+17</v>
      </c>
      <c r="B11" s="7" t="str">
        <f>MID($A11,1,3)</f>
        <v>792</v>
      </c>
      <c r="C11" s="8" t="str">
        <f>IF($P$12=1,"mil","")</f>
        <v>mil</v>
      </c>
      <c r="D11" s="9" t="str">
        <f>MID($A$11,4,3)</f>
        <v>749</v>
      </c>
      <c r="E11" s="10" t="str">
        <f>IF($P$14=1,"billones","")</f>
        <v>billones</v>
      </c>
      <c r="F11" s="7" t="str">
        <f>MID($A$11,7,3)</f>
        <v>345</v>
      </c>
      <c r="G11" s="8" t="str">
        <f>IF($P$12=1,"mil","")</f>
        <v>mil</v>
      </c>
      <c r="H11" s="9" t="str">
        <f>MID($A$11,10,3)</f>
        <v>968</v>
      </c>
      <c r="I11" s="10" t="str">
        <f>IF($P$13=1,"millones","")</f>
        <v>millones</v>
      </c>
      <c r="J11" s="7" t="str">
        <f>MID($A$11,13,3)</f>
        <v>731</v>
      </c>
      <c r="K11" s="8" t="str">
        <f>IF($P$12=1,"mil","")</f>
        <v>mil</v>
      </c>
      <c r="L11" s="9" t="str">
        <f>MID($A$11,16,3)</f>
        <v>000</v>
      </c>
      <c r="P11" s="1">
        <v>1</v>
      </c>
      <c r="Q11" s="4"/>
    </row>
    <row r="12" spans="1:17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P12" s="1">
        <v>1</v>
      </c>
    </row>
    <row r="13" spans="1:17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P13" s="1">
        <v>1</v>
      </c>
    </row>
    <row r="14" spans="1:17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P14" s="1">
        <v>1</v>
      </c>
    </row>
    <row r="15" spans="1:17" x14ac:dyDescent="0.3">
      <c r="A15" s="6"/>
      <c r="B15" s="2"/>
      <c r="C15" s="2"/>
      <c r="D15" s="11">
        <v>52452986740</v>
      </c>
      <c r="E15" s="11"/>
      <c r="F15" s="11"/>
      <c r="G15" s="12">
        <v>52452986740</v>
      </c>
      <c r="H15" s="12"/>
      <c r="I15" s="12"/>
      <c r="J15" s="2"/>
      <c r="K15" s="2"/>
      <c r="L15" s="2"/>
    </row>
    <row r="16" spans="1:17" x14ac:dyDescent="0.3">
      <c r="A16" s="6"/>
      <c r="B16" s="2"/>
      <c r="C16" s="2"/>
      <c r="D16" s="11">
        <v>614183586633</v>
      </c>
      <c r="E16" s="11"/>
      <c r="F16" s="11"/>
      <c r="G16" s="13">
        <v>614183586633</v>
      </c>
      <c r="H16" s="13"/>
      <c r="I16" s="13"/>
      <c r="J16" s="2"/>
      <c r="K16" s="2"/>
      <c r="L16" s="2"/>
    </row>
    <row r="17" spans="1:12" x14ac:dyDescent="0.3">
      <c r="A17" s="6"/>
      <c r="B17" s="2"/>
      <c r="C17" s="2"/>
      <c r="D17" s="11">
        <v>7.9274934596873101E+17</v>
      </c>
      <c r="E17" s="11"/>
      <c r="F17" s="11"/>
      <c r="G17" s="14">
        <v>7.9274934596873101E+17</v>
      </c>
      <c r="H17" s="14"/>
      <c r="I17" s="14"/>
      <c r="J17" s="2"/>
      <c r="K17" s="2"/>
      <c r="L17" s="2"/>
    </row>
    <row r="18" spans="1:12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</row>
    <row r="34" spans="1:12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1:12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2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</row>
    <row r="37" spans="1:12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</row>
    <row r="38" spans="1:12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</row>
    <row r="39" spans="1:12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</row>
    <row r="40" spans="1:12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</row>
    <row r="42" spans="1:12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</row>
    <row r="44" spans="1:12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  <row r="46" spans="1:12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</row>
    <row r="47" spans="1:12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</row>
    <row r="48" spans="1:12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  <row r="53" spans="1:12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</row>
    <row r="54" spans="1:12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</row>
    <row r="55" spans="1:12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</row>
    <row r="56" spans="1:12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</row>
    <row r="57" spans="1:12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</row>
    <row r="58" spans="1:12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</row>
    <row r="59" spans="1:12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</row>
    <row r="60" spans="1:12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</row>
    <row r="61" spans="1:12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</row>
    <row r="62" spans="1:12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</row>
    <row r="63" spans="1:12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</row>
    <row r="64" spans="1:12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</row>
    <row r="65" spans="1:12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</row>
    <row r="66" spans="1:12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</row>
    <row r="67" spans="1:12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</row>
    <row r="70" spans="1:12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</row>
    <row r="71" spans="1:12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</row>
    <row r="72" spans="1:12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</row>
    <row r="73" spans="1:12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</row>
    <row r="74" spans="1:12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</row>
    <row r="75" spans="1:12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</row>
    <row r="76" spans="1:12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</row>
    <row r="77" spans="1:12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</row>
    <row r="78" spans="1:12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</row>
    <row r="79" spans="1:12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</row>
    <row r="80" spans="1:12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</row>
    <row r="81" spans="1:12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</row>
    <row r="82" spans="1:12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</row>
    <row r="83" spans="1:12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</row>
    <row r="84" spans="1:12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</row>
    <row r="85" spans="1:12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</row>
    <row r="86" spans="1:12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</row>
    <row r="87" spans="1:12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</row>
    <row r="88" spans="1:12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</row>
    <row r="89" spans="1:12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</row>
    <row r="90" spans="1:12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2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2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</row>
    <row r="93" spans="1:12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</row>
    <row r="94" spans="1:12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</row>
    <row r="95" spans="1:12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</row>
    <row r="96" spans="1:12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</row>
    <row r="97" spans="1:12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</row>
    <row r="98" spans="1:12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</row>
    <row r="99" spans="1:12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</row>
    <row r="100" spans="1:12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</row>
  </sheetData>
  <sortState ref="A2:A100">
    <sortCondition ref="A2"/>
  </sortState>
  <mergeCells count="7">
    <mergeCell ref="D17:F17"/>
    <mergeCell ref="G15:I15"/>
    <mergeCell ref="G16:I16"/>
    <mergeCell ref="G17:I17"/>
    <mergeCell ref="A1:L1"/>
    <mergeCell ref="D15:F15"/>
    <mergeCell ref="D16:F16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Vega Castillo</dc:creator>
  <cp:lastModifiedBy>Ernesto Vega Castillo</cp:lastModifiedBy>
  <dcterms:created xsi:type="dcterms:W3CDTF">2021-07-21T18:25:30Z</dcterms:created>
  <dcterms:modified xsi:type="dcterms:W3CDTF">2021-09-24T15:16:57Z</dcterms:modified>
</cp:coreProperties>
</file>